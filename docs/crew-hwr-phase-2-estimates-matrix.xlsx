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Estimates"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5">
    <font>
      <name val="Calibri"/>
      <charset val="1"/>
      <family val="2"/>
      <color theme="1"/>
      <sz val="11"/>
    </font>
    <font>
      <name val="Arial"/>
      <family val="0"/>
      <sz val="10"/>
    </font>
    <font>
      <name val="Arial"/>
      <family val="0"/>
      <sz val="10"/>
    </font>
    <font>
      <name val="Arial"/>
      <family val="0"/>
      <sz val="10"/>
    </font>
    <font>
      <name val="Cambria"/>
      <charset val="1"/>
      <family val="0"/>
      <b val="1"/>
      <sz val="11"/>
    </font>
  </fonts>
  <fills count="6">
    <fill>
      <patternFill/>
    </fill>
    <fill>
      <patternFill patternType="gray125"/>
    </fill>
    <fill>
      <patternFill patternType="solid">
        <fgColor rgb="FFF0F0F0"/>
        <bgColor rgb="FFF8F8F8"/>
      </patternFill>
    </fill>
    <fill>
      <patternFill patternType="solid">
        <fgColor rgb="FFF8F8F8"/>
        <bgColor rgb="FFF0F0F0"/>
      </patternFill>
    </fill>
    <fill>
      <patternFill patternType="solid">
        <fgColor rgb="00FFFFFF"/>
        <bgColor rgb="00FFFFFF"/>
      </patternFill>
    </fill>
    <fill>
      <patternFill patternType="solid">
        <fgColor rgb="00F0F4F8"/>
        <bgColor rgb="00F0F4F8"/>
      </patternFill>
    </fill>
  </fills>
  <borders count="3">
    <border>
      <left/>
      <right/>
      <top/>
      <bottom/>
      <diagonal/>
    </border>
    <border>
      <left style="thin"/>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general" vertical="bottom"/>
    </xf>
    <xf numFmtId="0" fontId="0" fillId="0" borderId="1" applyAlignment="1" pivotButton="0" quotePrefix="0" xfId="0">
      <alignment horizontal="general" vertical="top" wrapText="1"/>
    </xf>
    <xf numFmtId="164" fontId="0" fillId="0" borderId="1" applyAlignment="1" pivotButton="0" quotePrefix="0" xfId="0">
      <alignment horizontal="general" vertical="top" wrapText="1"/>
    </xf>
    <xf numFmtId="0" fontId="4" fillId="3" borderId="0" applyAlignment="1" pivotButton="0" quotePrefix="0" xfId="0">
      <alignment horizontal="general" vertical="bottom"/>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bottom"/>
    </xf>
    <xf numFmtId="0" fontId="0" fillId="4" borderId="1" applyAlignment="1" pivotButton="0" quotePrefix="0" xfId="0">
      <alignment horizontal="general" vertical="top" wrapText="1"/>
    </xf>
    <xf numFmtId="164" fontId="0" fillId="4" borderId="1" applyAlignment="1" pivotButton="0" quotePrefix="0" xfId="0">
      <alignment horizontal="general" vertical="top" wrapText="1"/>
    </xf>
    <xf numFmtId="0" fontId="0" fillId="4" borderId="2" applyAlignment="1" pivotButton="0" quotePrefix="0" xfId="0">
      <alignment vertical="top" wrapText="1"/>
    </xf>
    <xf numFmtId="164" fontId="0" fillId="4" borderId="2" applyAlignment="1" pivotButton="0" quotePrefix="0" xfId="0">
      <alignment vertical="top" wrapText="1"/>
    </xf>
    <xf numFmtId="0" fontId="0" fillId="5" borderId="2" applyAlignment="1" pivotButton="0" quotePrefix="0" xfId="0">
      <alignment vertical="top" wrapText="1"/>
    </xf>
    <xf numFmtId="164" fontId="0" fillId="5" borderId="2" applyAlignment="1" pivotButton="0" quotePrefix="0" xfId="0">
      <alignment vertical="top" wrapText="1"/>
    </xf>
    <xf numFmtId="0" fontId="4" fillId="3" borderId="0" applyAlignment="1" pivotButton="0" quotePrefix="0" xfId="0">
      <alignment horizontal="general" vertical="bottom"/>
    </xf>
    <xf numFmtId="0" fontId="4" fillId="0" borderId="0" applyAlignment="1" pivotButton="0" quotePrefix="0" xfId="0">
      <alignment horizontal="general" vertical="bottom"/>
    </xf>
    <xf numFmtId="10" fontId="0"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8F8F8"/>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0F0F0"/>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2:H9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K8" activeCellId="0" sqref="K7:K8"/>
    </sheetView>
  </sheetViews>
  <sheetFormatPr baseColWidth="8" defaultColWidth="8.58984375" defaultRowHeight="15" customHeight="1" zeroHeight="0" outlineLevelRow="0"/>
  <cols>
    <col width="20.7" customWidth="1" style="7" min="1" max="1"/>
    <col width="12" customWidth="1" style="7" min="2" max="2"/>
    <col width="45" customWidth="1" style="7" min="3" max="3"/>
    <col width="42" customWidth="1" style="7" min="4" max="4"/>
    <col width="38" customWidth="1" style="7" min="5" max="5"/>
    <col width="50" customWidth="1" style="7" min="6" max="6"/>
    <col width="10" customWidth="1" style="7" min="7" max="7"/>
    <col width="23.12" customWidth="1" style="7" min="8" max="8"/>
    <col width="11.53" customWidth="1" style="7" min="16384" max="16384"/>
  </cols>
  <sheetData>
    <row r="2" ht="15" customHeight="1" s="8">
      <c r="A2" s="9" t="inlineStr">
        <is>
          <t>Group</t>
        </is>
      </c>
      <c r="B2" s="9" t="inlineStr">
        <is>
          <t>ID</t>
        </is>
      </c>
      <c r="C2" s="9" t="inlineStr">
        <is>
          <t>Description</t>
        </is>
      </c>
      <c r="D2" s="9" t="inlineStr">
        <is>
          <t>Component</t>
        </is>
      </c>
      <c r="E2" s="9" t="inlineStr">
        <is>
          <t>Activity</t>
        </is>
      </c>
      <c r="F2" s="9" t="inlineStr">
        <is>
          <t>Activity description</t>
        </is>
      </c>
      <c r="G2" s="9" t="inlineStr">
        <is>
          <t>Days</t>
        </is>
      </c>
      <c r="H2" s="9" t="inlineStr">
        <is>
          <t>Days (with contingency)</t>
        </is>
      </c>
    </row>
    <row r="3" ht="25" customHeight="1" s="8">
      <c r="A3" s="10" t="inlineStr">
        <is>
          <t>HW&amp;R  Phase 2</t>
        </is>
      </c>
      <c r="B3" s="10" t="inlineStr">
        <is>
          <t>CR-6550</t>
        </is>
      </c>
      <c r="C3" s="10" t="inlineStr">
        <is>
          <t>[HW&amp;R] Set and Update Vessel Current Timezone Offset</t>
        </is>
      </c>
      <c r="D3" s="10" t="inlineStr">
        <is>
          <t>Service (vessel-time-service) [NEW]</t>
        </is>
      </c>
      <c r="E3" s="10" t="inlineStr">
        <is>
          <t>DB: new tables, migration</t>
        </is>
      </c>
      <c r="F3" s="10" t="inlineStr">
        <is>
          <t>DB: new tables, migration</t>
        </is>
      </c>
      <c r="G3" s="11" t="n">
        <v>1</v>
      </c>
      <c r="H3" s="11">
        <f>G3*(1+$B$83/100)</f>
        <v/>
      </c>
    </row>
    <row r="4" ht="15" customHeight="1" s="8">
      <c r="A4" s="12" t="inlineStr">
        <is>
          <t>HW&amp;R  Phase 2</t>
        </is>
      </c>
      <c r="B4" s="12" t="inlineStr">
        <is>
          <t>CR-6550</t>
        </is>
      </c>
      <c r="C4" s="12" t="inlineStr">
        <is>
          <t>[HW&amp;R] Set and Update Vessel Current Timezone Offset</t>
        </is>
      </c>
      <c r="D4" s="12" t="inlineStr">
        <is>
          <t>Service (vessel-time-service) [NEW]</t>
        </is>
      </c>
      <c r="E4" s="12" t="inlineStr">
        <is>
          <t>onboard data-sync</t>
        </is>
      </c>
      <c r="F4" s="12" t="inlineStr">
        <is>
          <t>Define sync configuration for the new tables</t>
        </is>
      </c>
      <c r="G4" s="13" t="n">
        <v>1</v>
      </c>
      <c r="H4" s="13">
        <f>G4*(1+$B$83/100)</f>
        <v/>
      </c>
    </row>
    <row r="5" ht="15" customHeight="1" s="8">
      <c r="A5" s="12" t="inlineStr">
        <is>
          <t>HW&amp;R  Phase 2</t>
        </is>
      </c>
      <c r="B5" s="12" t="inlineStr">
        <is>
          <t>CR-6550</t>
        </is>
      </c>
      <c r="C5" s="12" t="inlineStr">
        <is>
          <t>[HW&amp;R] Set and Update Vessel Current Timezone Offset</t>
        </is>
      </c>
      <c r="D5" s="12" t="inlineStr">
        <is>
          <t>Service (vessel-time-service) [NEW]</t>
        </is>
      </c>
      <c r="E5" s="12" t="inlineStr">
        <is>
          <t>Domain models and core logic for CRUD</t>
        </is>
      </c>
      <c r="F5" s="12" t="inlineStr">
        <is>
          <t>Domain models and core logic for CRUD</t>
        </is>
      </c>
      <c r="G5" s="13" t="n">
        <v>2</v>
      </c>
      <c r="H5" s="13">
        <f>G5*(1+$B$83/100)</f>
        <v/>
      </c>
    </row>
    <row r="6" ht="15" customHeight="1" s="8">
      <c r="A6" s="12" t="inlineStr">
        <is>
          <t>HW&amp;R  Phase 2</t>
        </is>
      </c>
      <c r="B6" s="12" t="inlineStr">
        <is>
          <t>CR-6550</t>
        </is>
      </c>
      <c r="C6" s="12" t="inlineStr">
        <is>
          <t>[HW&amp;R] Set and Update Vessel Current Timezone Offset</t>
        </is>
      </c>
      <c r="D6" s="12" t="inlineStr">
        <is>
          <t>Service (vessel-time-service) [NEW]</t>
        </is>
      </c>
      <c r="E6" s="12" t="inlineStr">
        <is>
          <t>Authorisation, new resources, edit roles</t>
        </is>
      </c>
      <c r="F6" s="12" t="inlineStr">
        <is>
          <t>Authorisation, new resources, edit roles</t>
        </is>
      </c>
      <c r="G6" s="13" t="n">
        <v>2</v>
      </c>
      <c r="H6" s="13">
        <f>G6*(1+$B$83/100)</f>
        <v/>
      </c>
    </row>
    <row r="7" ht="15" customHeight="1" s="8">
      <c r="A7" s="12" t="inlineStr">
        <is>
          <t>HW&amp;R  Phase 2</t>
        </is>
      </c>
      <c r="B7" s="12" t="inlineStr">
        <is>
          <t>CR-6550</t>
        </is>
      </c>
      <c r="C7" s="12" t="inlineStr">
        <is>
          <t>[HW&amp;R] Set and Update Vessel Current Timezone Offset</t>
        </is>
      </c>
      <c r="D7" s="12" t="inlineStr">
        <is>
          <t>Service (vessel-time-service) [NEW]</t>
        </is>
      </c>
      <c r="E7" s="12" t="inlineStr">
        <is>
          <t>graphQL API</t>
        </is>
      </c>
      <c r="F7" s="12" t="inlineStr">
        <is>
          <t>graphQL (query and mutations for MFE)</t>
        </is>
      </c>
      <c r="G7" s="13" t="n">
        <v>2</v>
      </c>
      <c r="H7" s="13">
        <f>G7*(1+$B$83/100)</f>
        <v/>
      </c>
    </row>
    <row r="8">
      <c r="A8" s="12" t="inlineStr">
        <is>
          <t>HW&amp;R  Phase 2</t>
        </is>
      </c>
      <c r="B8" s="12" t="inlineStr">
        <is>
          <t>CR-6550</t>
        </is>
      </c>
      <c r="C8" s="12" t="inlineStr">
        <is>
          <t>[HW&amp;R] Set and Update Vessel Current Timezone Offset</t>
        </is>
      </c>
      <c r="D8" s="12" t="inlineStr">
        <is>
          <t>Service (vessel-time-service) [NEW]</t>
        </is>
      </c>
      <c r="E8" s="12" t="inlineStr">
        <is>
          <t>gRPC API</t>
        </is>
      </c>
      <c r="F8" s="12" t="inlineStr">
        <is>
          <t>grpc (to be used by mobile-client-api)</t>
        </is>
      </c>
      <c r="G8" s="13" t="n">
        <v>2</v>
      </c>
      <c r="H8" s="13">
        <f>G8*(1+$B$83/100)</f>
        <v/>
      </c>
    </row>
    <row r="9" ht="15" customHeight="1" s="8">
      <c r="A9" s="12" t="inlineStr">
        <is>
          <t>HW&amp;R  Phase 2</t>
        </is>
      </c>
      <c r="B9" s="12" t="inlineStr">
        <is>
          <t>CR-6550</t>
        </is>
      </c>
      <c r="C9" s="12" t="inlineStr">
        <is>
          <t>[HW&amp;R] Set and Update Vessel Current Timezone Offset</t>
        </is>
      </c>
      <c r="D9" s="12" t="inlineStr">
        <is>
          <t>Service (vessel-time-service) [NEW]</t>
        </is>
      </c>
      <c r="E9" s="12" t="inlineStr">
        <is>
          <t>Outbox pattern to produce domain events</t>
        </is>
      </c>
      <c r="F9" s="12" t="inlineStr">
        <is>
          <t>Outbox pattern to trigger events when vessel time is is changed (needed for async recalculation)</t>
        </is>
      </c>
      <c r="G9" s="13" t="n">
        <v>2</v>
      </c>
      <c r="H9" s="13">
        <f>G9*(1+$B$83/100)</f>
        <v/>
      </c>
    </row>
    <row r="10" ht="15" customHeight="1" s="8">
      <c r="A10" s="12" t="inlineStr">
        <is>
          <t>HW&amp;R  Phase 2</t>
        </is>
      </c>
      <c r="B10" s="12" t="inlineStr">
        <is>
          <t>CR-6550</t>
        </is>
      </c>
      <c r="C10" s="12" t="inlineStr">
        <is>
          <t>[HW&amp;R] Set and Update Vessel Current Timezone Offset</t>
        </is>
      </c>
      <c r="D10" s="12" t="inlineStr">
        <is>
          <t>MFE (vessel-time)</t>
        </is>
      </c>
      <c r="E10" s="12" t="inlineStr">
        <is>
          <t>Add new menu item and new UI</t>
        </is>
      </c>
      <c r="F10" s="12" t="inlineStr">
        <is>
          <t>Add new menu item and new UI changes entries</t>
        </is>
      </c>
      <c r="G10" s="13" t="n">
        <v>1</v>
      </c>
      <c r="H10" s="13">
        <f>G10*(1+$B$83/100)</f>
        <v/>
      </c>
    </row>
    <row r="11" ht="15" customHeight="1" s="8">
      <c r="A11" s="12" t="inlineStr">
        <is>
          <t>HW&amp;R  Phase 2</t>
        </is>
      </c>
      <c r="B11" s="12" t="inlineStr">
        <is>
          <t>CR-6550</t>
        </is>
      </c>
      <c r="C11" s="12" t="inlineStr">
        <is>
          <t>[HW&amp;R] Set and Update Vessel Current Timezone Offset</t>
        </is>
      </c>
      <c r="D11" s="12" t="inlineStr">
        <is>
          <t>MFE (vessel-time)</t>
        </is>
      </c>
      <c r="E11" s="12" t="inlineStr">
        <is>
          <t>Enhance existing UI (Small)</t>
        </is>
      </c>
      <c r="F11" s="12" t="inlineStr">
        <is>
          <t>Add new detail page with CRUD</t>
        </is>
      </c>
      <c r="G11" s="13" t="n">
        <v>2</v>
      </c>
      <c r="H11" s="13">
        <f>G11*(1+$B$83/100)</f>
        <v/>
      </c>
    </row>
    <row r="12" ht="15" customHeight="1" s="8">
      <c r="A12" s="14" t="inlineStr">
        <is>
          <t>HW&amp;R  Phase 2</t>
        </is>
      </c>
      <c r="B12" s="14" t="inlineStr">
        <is>
          <t>CR-6551</t>
        </is>
      </c>
      <c r="C12" s="14" t="inlineStr">
        <is>
          <t>[HW&amp;R] Schedule Clock Changes</t>
        </is>
      </c>
      <c r="D12" s="14" t="inlineStr">
        <is>
          <t>Service (vessel-time-service) [NEW]</t>
        </is>
      </c>
      <c r="E12" s="14" t="inlineStr">
        <is>
          <t>DB: new tables, migration</t>
        </is>
      </c>
      <c r="F12" s="14" t="inlineStr">
        <is>
          <t>DB: new tables, migration</t>
        </is>
      </c>
      <c r="G12" s="15" t="n">
        <v>1</v>
      </c>
      <c r="H12" s="15">
        <f>G12*(1+$B$83/100)</f>
        <v/>
      </c>
    </row>
    <row r="13" ht="15" customHeight="1" s="8">
      <c r="A13" s="14" t="inlineStr">
        <is>
          <t>HW&amp;R  Phase 2</t>
        </is>
      </c>
      <c r="B13" s="14" t="inlineStr">
        <is>
          <t>CR-6551</t>
        </is>
      </c>
      <c r="C13" s="14" t="inlineStr">
        <is>
          <t>[HW&amp;R] Schedule Clock Changes</t>
        </is>
      </c>
      <c r="D13" s="14" t="inlineStr">
        <is>
          <t>Service (vessel-time-service) [NEW]</t>
        </is>
      </c>
      <c r="E13" s="14" t="inlineStr">
        <is>
          <t>onboard data-sync</t>
        </is>
      </c>
      <c r="F13" s="14" t="inlineStr">
        <is>
          <t>Define sync configuration for the new tables</t>
        </is>
      </c>
      <c r="G13" s="15" t="n">
        <v>1</v>
      </c>
      <c r="H13" s="15">
        <f>G13*(1+$B$83/100)</f>
        <v/>
      </c>
    </row>
    <row r="14" ht="15" customHeight="1" s="8">
      <c r="A14" s="14" t="inlineStr">
        <is>
          <t>HW&amp;R  Phase 2</t>
        </is>
      </c>
      <c r="B14" s="14" t="inlineStr">
        <is>
          <t>CR-6551</t>
        </is>
      </c>
      <c r="C14" s="14" t="inlineStr">
        <is>
          <t>[HW&amp;R] Schedule Clock Changes</t>
        </is>
      </c>
      <c r="D14" s="14" t="inlineStr">
        <is>
          <t>Service (vessel-time-service) [NEW]</t>
        </is>
      </c>
      <c r="E14" s="14" t="inlineStr">
        <is>
          <t>Domain models and core logic for CRUD</t>
        </is>
      </c>
      <c r="F14" s="14" t="inlineStr">
        <is>
          <t>Domain models and core logic for CRUD</t>
        </is>
      </c>
      <c r="G14" s="15" t="n">
        <v>2</v>
      </c>
      <c r="H14" s="15">
        <f>G14*(1+$B$83/100)</f>
        <v/>
      </c>
    </row>
    <row r="15">
      <c r="A15" s="14" t="inlineStr">
        <is>
          <t>HW&amp;R  Phase 2</t>
        </is>
      </c>
      <c r="B15" s="14" t="inlineStr">
        <is>
          <t>CR-6551</t>
        </is>
      </c>
      <c r="C15" s="14" t="inlineStr">
        <is>
          <t>[HW&amp;R] Schedule Clock Changes</t>
        </is>
      </c>
      <c r="D15" s="14" t="inlineStr">
        <is>
          <t>Service (vessel-time-service) [NEW]</t>
        </is>
      </c>
      <c r="E15" s="14" t="inlineStr">
        <is>
          <t>Authorisation, new resources, edit roles</t>
        </is>
      </c>
      <c r="F15" s="14" t="inlineStr">
        <is>
          <t>Authorisation, new resources, edit roles</t>
        </is>
      </c>
      <c r="G15" s="15" t="n">
        <v>2</v>
      </c>
      <c r="H15" s="15">
        <f>G15*(1+$B$83/100)</f>
        <v/>
      </c>
    </row>
    <row r="16">
      <c r="A16" s="14" t="inlineStr">
        <is>
          <t>HW&amp;R  Phase 2</t>
        </is>
      </c>
      <c r="B16" s="14" t="inlineStr">
        <is>
          <t>CR-6551</t>
        </is>
      </c>
      <c r="C16" s="14" t="inlineStr">
        <is>
          <t>[HW&amp;R] Schedule Clock Changes</t>
        </is>
      </c>
      <c r="D16" s="14" t="inlineStr">
        <is>
          <t>Service (vessel-time-service) [NEW]</t>
        </is>
      </c>
      <c r="E16" s="14" t="inlineStr">
        <is>
          <t>graphQL API</t>
        </is>
      </c>
      <c r="F16" s="14" t="inlineStr">
        <is>
          <t>graphQL (query and mutations for MFE)</t>
        </is>
      </c>
      <c r="G16" s="15" t="n">
        <v>2</v>
      </c>
      <c r="H16" s="15">
        <f>G16*(1+$B$83/100)</f>
        <v/>
      </c>
    </row>
    <row r="17">
      <c r="A17" s="14" t="inlineStr">
        <is>
          <t>HW&amp;R  Phase 2</t>
        </is>
      </c>
      <c r="B17" s="14" t="inlineStr">
        <is>
          <t>CR-6551</t>
        </is>
      </c>
      <c r="C17" s="14" t="inlineStr">
        <is>
          <t>[HW&amp;R] Schedule Clock Changes</t>
        </is>
      </c>
      <c r="D17" s="14" t="inlineStr">
        <is>
          <t>Service (vessel-time-service) [NEW]</t>
        </is>
      </c>
      <c r="E17" s="14" t="inlineStr">
        <is>
          <t>gRPC API</t>
        </is>
      </c>
      <c r="F17" s="14" t="inlineStr">
        <is>
          <t>grpc (to be used by mobile-client-api)</t>
        </is>
      </c>
      <c r="G17" s="15" t="n">
        <v>2</v>
      </c>
      <c r="H17" s="15">
        <f>G17*(1+$B$83/100)</f>
        <v/>
      </c>
    </row>
    <row r="18">
      <c r="A18" s="14" t="inlineStr">
        <is>
          <t>HW&amp;R  Phase 2</t>
        </is>
      </c>
      <c r="B18" s="14" t="inlineStr">
        <is>
          <t>CR-6551</t>
        </is>
      </c>
      <c r="C18" s="14" t="inlineStr">
        <is>
          <t>[HW&amp;R] Schedule Clock Changes</t>
        </is>
      </c>
      <c r="D18" s="14" t="inlineStr">
        <is>
          <t>Service (vessel-time-service) [NEW]</t>
        </is>
      </c>
      <c r="E18" s="14" t="inlineStr">
        <is>
          <t>Outbox pattern to produce domain events</t>
        </is>
      </c>
      <c r="F18" s="14" t="inlineStr">
        <is>
          <t>Outbox pattern to trigger events when vessel time is is changed (needed for async recalculation)</t>
        </is>
      </c>
      <c r="G18" s="15" t="n">
        <v>2</v>
      </c>
      <c r="H18" s="15">
        <f>G18*(1+$B$83/100)</f>
        <v/>
      </c>
    </row>
    <row r="19">
      <c r="A19" s="14" t="inlineStr">
        <is>
          <t>HW&amp;R  Phase 2</t>
        </is>
      </c>
      <c r="B19" s="14" t="inlineStr">
        <is>
          <t>CR-6551</t>
        </is>
      </c>
      <c r="C19" s="14" t="inlineStr">
        <is>
          <t>[HW&amp;R] Schedule Clock Changes</t>
        </is>
      </c>
      <c r="D19" s="14" t="inlineStr">
        <is>
          <t>MFE (vessel-time)</t>
        </is>
      </c>
      <c r="E19" s="14" t="inlineStr">
        <is>
          <t>Enhance existing UI (Medium)</t>
        </is>
      </c>
      <c r="F19" s="14" t="inlineStr">
        <is>
          <t>Add new visual component to schedule clock changes and IDL crossing</t>
        </is>
      </c>
      <c r="G19" s="15" t="n">
        <v>3</v>
      </c>
      <c r="H19" s="15">
        <f>G19*(1+$B$83/100)</f>
        <v/>
      </c>
    </row>
    <row r="20">
      <c r="A20" s="12" t="inlineStr">
        <is>
          <t>HW&amp;R  Phase 2</t>
        </is>
      </c>
      <c r="B20" s="12" t="inlineStr">
        <is>
          <t>CR-6552</t>
        </is>
      </c>
      <c r="C20" s="12" t="inlineStr">
        <is>
          <t>[HW&amp;R] Timesheet Adjustment for Clock Changes</t>
        </is>
      </c>
      <c r="D20" s="12" t="inlineStr">
        <is>
          <t>Service (crew-hours-of-work-and-rest-service)</t>
        </is>
      </c>
      <c r="E20" s="12" t="inlineStr">
        <is>
          <t>graphQL API</t>
        </is>
      </c>
      <c r="F20" s="12" t="inlineStr">
        <is>
          <t>graphQL API to expose the timesheet adjustment for clock changes</t>
        </is>
      </c>
      <c r="G20" s="13" t="n">
        <v>2</v>
      </c>
      <c r="H20" s="13">
        <f>G20*(1+$B$83/100)</f>
        <v/>
      </c>
    </row>
    <row r="21">
      <c r="A21" s="12" t="inlineStr">
        <is>
          <t>HW&amp;R  Phase 2</t>
        </is>
      </c>
      <c r="B21" s="12" t="inlineStr">
        <is>
          <t>CR-6552</t>
        </is>
      </c>
      <c r="C21" s="12" t="inlineStr">
        <is>
          <t>[HW&amp;R] Timesheet Adjustment for Clock Changes</t>
        </is>
      </c>
      <c r="D21" s="12" t="inlineStr">
        <is>
          <t>Service (crew-hours-of-work-and-rest-service)</t>
        </is>
      </c>
      <c r="E21" s="12" t="inlineStr">
        <is>
          <t>DB: new tables, migration</t>
        </is>
      </c>
      <c r="F21" s="12" t="inlineStr">
        <is>
          <t>we need to store the vessel time which was active at the point of insertion of the timesheet (now everything is stored in UTC and timezone agnostic). Compliances calculations need to be updated to use the new vessel time.</t>
        </is>
      </c>
      <c r="G21" s="13" t="n">
        <v>1</v>
      </c>
      <c r="H21" s="13">
        <f>G21*(1+$B$83/100)</f>
        <v/>
      </c>
    </row>
    <row r="22">
      <c r="A22" s="12" t="inlineStr">
        <is>
          <t>HW&amp;R  Phase 2</t>
        </is>
      </c>
      <c r="B22" s="12" t="inlineStr">
        <is>
          <t>CR-6552</t>
        </is>
      </c>
      <c r="C22" s="12" t="inlineStr">
        <is>
          <t>[HW&amp;R] Timesheet Adjustment for Clock Changes</t>
        </is>
      </c>
      <c r="D22" s="12" t="inlineStr">
        <is>
          <t>Service (crew-hours-of-work-and-rest-service)</t>
        </is>
      </c>
      <c r="E22" s="12" t="inlineStr">
        <is>
          <t>Service core business logic change (Medium)</t>
        </is>
      </c>
      <c r="F22" s="12" t="inlineStr">
        <is>
          <t>Core logic for storing the vessel time for the timesheets</t>
        </is>
      </c>
      <c r="G22" s="13" t="n">
        <v>3</v>
      </c>
      <c r="H22" s="13">
        <f>G22*(1+$B$83/100)</f>
        <v/>
      </c>
    </row>
    <row r="23">
      <c r="A23" s="12" t="inlineStr">
        <is>
          <t>HW&amp;R  Phase 2</t>
        </is>
      </c>
      <c r="B23" s="12" t="inlineStr">
        <is>
          <t>CR-6552</t>
        </is>
      </c>
      <c r="C23" s="12" t="inlineStr">
        <is>
          <t>[HW&amp;R] Timesheet Adjustment for Clock Changes</t>
        </is>
      </c>
      <c r="D23" s="12" t="inlineStr">
        <is>
          <t>Service (crew-hours-of-work-and-rest-vessel-time-consumer) [NEW]</t>
        </is>
      </c>
      <c r="E23" s="12" t="inlineStr">
        <is>
          <t>Kafka consumer</t>
        </is>
      </c>
      <c r="F23" s="12" t="inlineStr">
        <is>
          <t>Consumes events when regime is changed and triggers recalculation for unsubmitted draft timesheets and submitted but not-yet approved timesheets (warning needed?)</t>
        </is>
      </c>
      <c r="G23" s="13" t="n">
        <v>2</v>
      </c>
      <c r="H23" s="13">
        <f>G23*(1+$B$83/100)</f>
        <v/>
      </c>
    </row>
    <row r="24">
      <c r="A24" s="12" t="inlineStr">
        <is>
          <t>HW&amp;R  Phase 2</t>
        </is>
      </c>
      <c r="B24" s="12" t="inlineStr">
        <is>
          <t>CR-6552</t>
        </is>
      </c>
      <c r="C24" s="12" t="inlineStr">
        <is>
          <t>[HW&amp;R] Timesheet Adjustment for Clock Changes</t>
        </is>
      </c>
      <c r="D24" s="12" t="inlineStr">
        <is>
          <t>Service (crew-hours-of-work-and-rest-vessel-time-consumer) [NEW]</t>
        </is>
      </c>
      <c r="E24" s="12" t="inlineStr">
        <is>
          <t>Service core business logic change (Medium)</t>
        </is>
      </c>
      <c r="F24" s="12" t="inlineStr">
        <is>
          <t>Compliances calculations need to be updated to use the new vessel time accounting for scheduled clock changes.</t>
        </is>
      </c>
      <c r="G24" s="13" t="n">
        <v>3</v>
      </c>
      <c r="H24" s="13">
        <f>G24*(1+$B$83/100)</f>
        <v/>
      </c>
    </row>
    <row r="25">
      <c r="A25" s="12" t="inlineStr">
        <is>
          <t>HW&amp;R  Phase 2</t>
        </is>
      </c>
      <c r="B25" s="12" t="inlineStr">
        <is>
          <t>CR-6552</t>
        </is>
      </c>
      <c r="C25" s="12" t="inlineStr">
        <is>
          <t>[HW&amp;R] Timesheet Adjustment for Clock Changes</t>
        </is>
      </c>
      <c r="D25" s="12" t="inlineStr">
        <is>
          <t>Service (crew-mobile-client-api)</t>
        </is>
      </c>
      <c r="E25" s="12" t="inlineStr">
        <is>
          <t>graphQL API</t>
        </is>
      </c>
      <c r="F25" s="12" t="inlineStr">
        <is>
          <t>graphQL API to expose the vessel time for the timesheets</t>
        </is>
      </c>
      <c r="G25" s="13" t="n">
        <v>2</v>
      </c>
      <c r="H25" s="13">
        <f>G25*(1+$B$83/100)</f>
        <v/>
      </c>
    </row>
    <row r="26">
      <c r="A26" s="12" t="inlineStr">
        <is>
          <t>HW&amp;R  Phase 2</t>
        </is>
      </c>
      <c r="B26" s="12" t="inlineStr">
        <is>
          <t>CR-6552</t>
        </is>
      </c>
      <c r="C26" s="12" t="inlineStr">
        <is>
          <t>[HW&amp;R] Timesheet Adjustment for Clock Changes</t>
        </is>
      </c>
      <c r="D26" s="12" t="inlineStr">
        <is>
          <t>Service (crew-mobile-client-api)</t>
        </is>
      </c>
      <c r="E26" s="12" t="inlineStr">
        <is>
          <t>Integration with another service</t>
        </is>
      </c>
      <c r="F26" s="12" t="inlineStr">
        <is>
          <t>integration with "vessel-time-service"</t>
        </is>
      </c>
      <c r="G26" s="13" t="n">
        <v>1</v>
      </c>
      <c r="H26" s="13">
        <f>G26*(1+$B$83/100)</f>
        <v/>
      </c>
    </row>
    <row r="27">
      <c r="A27" s="12" t="inlineStr">
        <is>
          <t>HW&amp;R  Phase 2</t>
        </is>
      </c>
      <c r="B27" s="12" t="inlineStr">
        <is>
          <t>CR-6552</t>
        </is>
      </c>
      <c r="C27" s="12" t="inlineStr">
        <is>
          <t>[HW&amp;R] Timesheet Adjustment for Clock Changes</t>
        </is>
      </c>
      <c r="D27" s="12" t="inlineStr">
        <is>
          <t>Mobile App</t>
        </is>
      </c>
      <c r="E27" s="12" t="inlineStr">
        <is>
          <t>Service core business logic change (Medium)</t>
        </is>
      </c>
      <c r="F27" s="12" t="inlineStr">
        <is>
          <t>we need to store the vessel time which was active at the point of insertion of the timesheet (now everything is stored in UTC and timezone agnostic). Compliances calculations need to be updated to use the new vessel time.</t>
        </is>
      </c>
      <c r="G27" s="13" t="n">
        <v>3</v>
      </c>
      <c r="H27" s="13">
        <f>G27*(1+$B$83/100)</f>
        <v/>
      </c>
    </row>
    <row r="28">
      <c r="A28" s="12" t="inlineStr">
        <is>
          <t>HW&amp;R  Phase 2</t>
        </is>
      </c>
      <c r="B28" s="12" t="inlineStr">
        <is>
          <t>CR-6552</t>
        </is>
      </c>
      <c r="C28" s="12" t="inlineStr">
        <is>
          <t>[HW&amp;R] Timesheet Adjustment for Clock Changes</t>
        </is>
      </c>
      <c r="D28" s="12" t="inlineStr">
        <is>
          <t>Mobile App</t>
        </is>
      </c>
      <c r="E28" s="12" t="inlineStr">
        <is>
          <t>Service core business logic change (Medium)</t>
        </is>
      </c>
      <c r="F28" s="12" t="inlineStr">
        <is>
          <t>Compliances calculations need to be updated to use the new vessel time accounting for scheduled clock changes.</t>
        </is>
      </c>
      <c r="G28" s="13" t="n">
        <v>3</v>
      </c>
      <c r="H28" s="13">
        <f>G28*(1+$B$83/100)</f>
        <v/>
      </c>
    </row>
    <row r="29">
      <c r="A29" s="12" t="inlineStr">
        <is>
          <t>HW&amp;R  Phase 2</t>
        </is>
      </c>
      <c r="B29" s="12" t="inlineStr">
        <is>
          <t>CR-6552</t>
        </is>
      </c>
      <c r="C29" s="12" t="inlineStr">
        <is>
          <t>[HW&amp;R] Timesheet Adjustment for Clock Changes</t>
        </is>
      </c>
      <c r="D29" s="12" t="inlineStr">
        <is>
          <t>MFE (crew-hwr)</t>
        </is>
      </c>
      <c r="E29" s="12" t="inlineStr">
        <is>
          <t>Enhance existing UI (Medium)</t>
        </is>
      </c>
      <c r="F29" s="12" t="inlineStr">
        <is>
          <t>Enhance Timesheet UI component to show clock changes and IDL crossing</t>
        </is>
      </c>
      <c r="G29" s="13" t="n">
        <v>3</v>
      </c>
      <c r="H29" s="13">
        <f>G29*(1+$B$83/100)</f>
        <v/>
      </c>
    </row>
    <row r="30">
      <c r="A30" s="14" t="inlineStr">
        <is>
          <t>HW&amp;R  Phase 2</t>
        </is>
      </c>
      <c r="B30" s="14" t="inlineStr">
        <is>
          <t>CR-6549</t>
        </is>
      </c>
      <c r="C30" s="14" t="inlineStr">
        <is>
          <t>[HW&amp;R] Compliance Engine Regime Resolution</t>
        </is>
      </c>
      <c r="D30" s="14" t="inlineStr">
        <is>
          <t>Service (crew-hours-of-work-and-rest-service)</t>
        </is>
      </c>
      <c r="E30" s="14" t="inlineStr">
        <is>
          <t>Outbox pattern to produce domain events</t>
        </is>
      </c>
      <c r="F30" s="14" t="inlineStr">
        <is>
          <t>Outbox pattern to trigger events when regime is changed (needed for async recalculation)</t>
        </is>
      </c>
      <c r="G30" s="15" t="n">
        <v>2</v>
      </c>
      <c r="H30" s="15">
        <f>G30*(1+$B$83/100)</f>
        <v/>
      </c>
    </row>
    <row r="31">
      <c r="A31" s="14" t="inlineStr">
        <is>
          <t>HW&amp;R  Phase 2</t>
        </is>
      </c>
      <c r="B31" s="14" t="inlineStr">
        <is>
          <t>CR-6549</t>
        </is>
      </c>
      <c r="C31" s="14" t="inlineStr">
        <is>
          <t>[HW&amp;R] Compliance Engine Regime Resolution</t>
        </is>
      </c>
      <c r="D31" s="14" t="inlineStr">
        <is>
          <t>Service (crew-hours-of-work-and-rest-service)</t>
        </is>
      </c>
      <c r="E31" s="14" t="inlineStr">
        <is>
          <t>Service core business logic change (Medium)</t>
        </is>
      </c>
      <c r="F31" s="14" t="inlineStr">
        <is>
          <t>Core logic for recalculation</t>
        </is>
      </c>
      <c r="G31" s="15" t="n">
        <v>3</v>
      </c>
      <c r="H31" s="15">
        <f>G31*(1+$B$83/100)</f>
        <v/>
      </c>
    </row>
    <row r="32">
      <c r="A32" s="14" t="inlineStr">
        <is>
          <t>HW&amp;R  Phase 2</t>
        </is>
      </c>
      <c r="B32" s="14" t="inlineStr">
        <is>
          <t>CR-6549</t>
        </is>
      </c>
      <c r="C32" s="14" t="inlineStr">
        <is>
          <t>[HW&amp;R] Compliance Engine Regime Resolution</t>
        </is>
      </c>
      <c r="D32" s="14" t="inlineStr">
        <is>
          <t>Service (crew-hours-of-work-and-rest-regime-change-consumer) [NEW]</t>
        </is>
      </c>
      <c r="E32" s="14" t="inlineStr">
        <is>
          <t>Kafka consumer</t>
        </is>
      </c>
      <c r="F32" s="14" t="inlineStr">
        <is>
          <t>Consumes events when regime is changed and triggers recalculation for unsubmitted draft timesheets and submitted but not-yet approved timesheets (warning needed?)</t>
        </is>
      </c>
      <c r="G32" s="15" t="n">
        <v>2</v>
      </c>
      <c r="H32" s="15">
        <f>G32*(1+$B$83/100)</f>
        <v/>
      </c>
    </row>
    <row r="33">
      <c r="A33" s="14" t="inlineStr">
        <is>
          <t>HW&amp;R  Phase 2</t>
        </is>
      </c>
      <c r="B33" s="14" t="inlineStr">
        <is>
          <t>CR-6549</t>
        </is>
      </c>
      <c r="C33" s="14" t="inlineStr">
        <is>
          <t>[HW&amp;R] Compliance Engine Regime Resolution</t>
        </is>
      </c>
      <c r="D33" s="14" t="inlineStr">
        <is>
          <t>Service (crew-mobile-client-api)</t>
        </is>
      </c>
      <c r="E33" s="14" t="inlineStr">
        <is>
          <t>graphQL API</t>
        </is>
      </c>
      <c r="F33" s="14" t="inlineStr">
        <is>
          <t>graphQL API</t>
        </is>
      </c>
      <c r="G33" s="15" t="n">
        <v>2</v>
      </c>
      <c r="H33" s="15">
        <f>G33*(1+$B$83/100)</f>
        <v/>
      </c>
    </row>
    <row r="34">
      <c r="A34" s="14" t="inlineStr">
        <is>
          <t>HW&amp;R  Phase 2</t>
        </is>
      </c>
      <c r="B34" s="14" t="inlineStr">
        <is>
          <t>CR-6549</t>
        </is>
      </c>
      <c r="C34" s="14" t="inlineStr">
        <is>
          <t>[HW&amp;R] Compliance Engine Regime Resolution</t>
        </is>
      </c>
      <c r="D34" s="14" t="inlineStr">
        <is>
          <t>Mobile App</t>
        </is>
      </c>
      <c r="E34" s="14" t="inlineStr">
        <is>
          <t>Service core business logic change (Small)</t>
        </is>
      </c>
      <c r="F34" s="14" t="inlineStr">
        <is>
          <t>Mobile core business logic change regime changes</t>
        </is>
      </c>
      <c r="G34" s="15" t="n">
        <v>2</v>
      </c>
      <c r="H34" s="15">
        <f>G34*(1+$B$83/100)</f>
        <v/>
      </c>
    </row>
    <row r="35">
      <c r="A35" s="14" t="inlineStr">
        <is>
          <t>HW&amp;R  Phase 2</t>
        </is>
      </c>
      <c r="B35" s="14" t="inlineStr">
        <is>
          <t>CR-6549</t>
        </is>
      </c>
      <c r="C35" s="14" t="inlineStr">
        <is>
          <t>[HW&amp;R] Compliance Engine Regime Resolution</t>
        </is>
      </c>
      <c r="D35" s="14" t="inlineStr">
        <is>
          <t>Mobile App</t>
        </is>
      </c>
      <c r="E35" s="14" t="inlineStr">
        <is>
          <t>Service core business logic change (Small)</t>
        </is>
      </c>
      <c r="F35" s="14" t="inlineStr">
        <is>
          <t>When regime is changed for unsubmitted draft timesheets, recalculation is needed</t>
        </is>
      </c>
      <c r="G35" s="15" t="n">
        <v>2</v>
      </c>
      <c r="H35" s="15">
        <f>G35*(1+$B$83/100)</f>
        <v/>
      </c>
    </row>
    <row r="36">
      <c r="A36" s="14" t="inlineStr">
        <is>
          <t>HW&amp;R  Phase 2</t>
        </is>
      </c>
      <c r="B36" s="14" t="inlineStr">
        <is>
          <t>CR-6549</t>
        </is>
      </c>
      <c r="C36" s="14" t="inlineStr">
        <is>
          <t>[HW&amp;R] Compliance Engine Regime Resolution</t>
        </is>
      </c>
      <c r="D36" s="14" t="inlineStr">
        <is>
          <t>Mobile App</t>
        </is>
      </c>
      <c r="E36" s="14" t="inlineStr">
        <is>
          <t>Service core business logic change (Small)</t>
        </is>
      </c>
      <c r="F36" s="14" t="inlineStr">
        <is>
          <t>When regime is changed for submitted but not-yet approved timesheets, recalculation (warning needed?)</t>
        </is>
      </c>
      <c r="G36" s="15" t="n">
        <v>2</v>
      </c>
      <c r="H36" s="15">
        <f>G36*(1+$B$83/100)</f>
        <v/>
      </c>
    </row>
    <row r="37">
      <c r="A37" s="12" t="inlineStr">
        <is>
          <t>HW&amp;R  Phase 2</t>
        </is>
      </c>
      <c r="B37" s="12" t="inlineStr">
        <is>
          <t>CR-6548</t>
        </is>
      </c>
      <c r="C37" s="12" t="inlineStr">
        <is>
          <t>[HW&amp;R] Base Regime Change Tracking</t>
        </is>
      </c>
      <c r="D37" s="12" t="inlineStr">
        <is>
          <t>Service (crew-hours-of-work-and-rest-service)</t>
        </is>
      </c>
      <c r="E37" s="12" t="inlineStr">
        <is>
          <t>DB: new tables, migration</t>
        </is>
      </c>
      <c r="F37" s="12" t="inlineStr">
        <is>
          <t>DB: new tables, migration</t>
        </is>
      </c>
      <c r="G37" s="13" t="n">
        <v>1</v>
      </c>
      <c r="H37" s="13">
        <f>G37*(1+$B$83/100)</f>
        <v/>
      </c>
    </row>
    <row r="38">
      <c r="A38" s="12" t="inlineStr">
        <is>
          <t>HW&amp;R  Phase 2</t>
        </is>
      </c>
      <c r="B38" s="12" t="inlineStr">
        <is>
          <t>CR-6548</t>
        </is>
      </c>
      <c r="C38" s="12" t="inlineStr">
        <is>
          <t>[HW&amp;R] Base Regime Change Tracking</t>
        </is>
      </c>
      <c r="D38" s="12" t="inlineStr">
        <is>
          <t>Service (crew-hours-of-work-and-rest-service)</t>
        </is>
      </c>
      <c r="E38" s="12" t="inlineStr">
        <is>
          <t>onboard data-sync</t>
        </is>
      </c>
      <c r="F38" s="12" t="inlineStr">
        <is>
          <t>Define sync configuration for the new tables</t>
        </is>
      </c>
      <c r="G38" s="13" t="n">
        <v>1</v>
      </c>
      <c r="H38" s="13">
        <f>G38*(1+$B$83/100)</f>
        <v/>
      </c>
    </row>
    <row r="39">
      <c r="A39" s="12" t="inlineStr">
        <is>
          <t>HW&amp;R  Phase 2</t>
        </is>
      </c>
      <c r="B39" s="12" t="inlineStr">
        <is>
          <t>CR-6548</t>
        </is>
      </c>
      <c r="C39" s="12" t="inlineStr">
        <is>
          <t>[HW&amp;R] Base Regime Change Tracking</t>
        </is>
      </c>
      <c r="D39" s="12" t="inlineStr">
        <is>
          <t>Service (crew-hours-of-work-and-rest-service)</t>
        </is>
      </c>
      <c r="E39" s="12" t="inlineStr">
        <is>
          <t>Domain models and core logic for CRUD</t>
        </is>
      </c>
      <c r="F39" s="12" t="inlineStr">
        <is>
          <t>Domain models and core logic for CRUD</t>
        </is>
      </c>
      <c r="G39" s="13" t="n">
        <v>2</v>
      </c>
      <c r="H39" s="13">
        <f>G39*(1+$B$83/100)</f>
        <v/>
      </c>
    </row>
    <row r="40">
      <c r="A40" s="12" t="inlineStr">
        <is>
          <t>HW&amp;R  Phase 2</t>
        </is>
      </c>
      <c r="B40" s="12" t="inlineStr">
        <is>
          <t>CR-6548</t>
        </is>
      </c>
      <c r="C40" s="12" t="inlineStr">
        <is>
          <t>[HW&amp;R] Base Regime Change Tracking</t>
        </is>
      </c>
      <c r="D40" s="12" t="inlineStr">
        <is>
          <t>Service (crew-hours-of-work-and-rest-service)</t>
        </is>
      </c>
      <c r="E40" s="12" t="inlineStr">
        <is>
          <t>Authorisation, new resources, edit roles</t>
        </is>
      </c>
      <c r="F40" s="12" t="inlineStr">
        <is>
          <t>Authorisation, new resources, edit roles</t>
        </is>
      </c>
      <c r="G40" s="13" t="n">
        <v>2</v>
      </c>
      <c r="H40" s="13">
        <f>G40*(1+$B$83/100)</f>
        <v/>
      </c>
    </row>
    <row r="41">
      <c r="A41" s="12" t="inlineStr">
        <is>
          <t>HW&amp;R  Phase 2</t>
        </is>
      </c>
      <c r="B41" s="12" t="inlineStr">
        <is>
          <t>CR-6548</t>
        </is>
      </c>
      <c r="C41" s="12" t="inlineStr">
        <is>
          <t>[HW&amp;R] Base Regime Change Tracking</t>
        </is>
      </c>
      <c r="D41" s="12" t="inlineStr">
        <is>
          <t>Service (crew-hours-of-work-and-rest-service)</t>
        </is>
      </c>
      <c r="E41" s="12" t="inlineStr">
        <is>
          <t>graphQL API</t>
        </is>
      </c>
      <c r="F41" s="12" t="inlineStr">
        <is>
          <t>graphQL (query and mutations for MFE)</t>
        </is>
      </c>
      <c r="G41" s="13" t="n">
        <v>2</v>
      </c>
      <c r="H41" s="13">
        <f>G41*(1+$B$83/100)</f>
        <v/>
      </c>
    </row>
    <row r="42">
      <c r="A42" s="12" t="inlineStr">
        <is>
          <t>HW&amp;R  Phase 2</t>
        </is>
      </c>
      <c r="B42" s="12" t="inlineStr">
        <is>
          <t>CR-6548</t>
        </is>
      </c>
      <c r="C42" s="12" t="inlineStr">
        <is>
          <t>[HW&amp;R] Base Regime Change Tracking</t>
        </is>
      </c>
      <c r="D42" s="12" t="inlineStr">
        <is>
          <t>Service (crew-hours-of-work-and-rest-service)</t>
        </is>
      </c>
      <c r="E42" s="12" t="inlineStr">
        <is>
          <t>gRPC API</t>
        </is>
      </c>
      <c r="F42" s="12" t="inlineStr">
        <is>
          <t>grpc (to be used by mobile-client-api)</t>
        </is>
      </c>
      <c r="G42" s="13" t="n">
        <v>2</v>
      </c>
      <c r="H42" s="13">
        <f>G42*(1+$B$83/100)</f>
        <v/>
      </c>
    </row>
    <row r="43">
      <c r="A43" s="12" t="inlineStr">
        <is>
          <t>HW&amp;R  Phase 2</t>
        </is>
      </c>
      <c r="B43" s="12" t="inlineStr">
        <is>
          <t>CR-6548</t>
        </is>
      </c>
      <c r="C43" s="12" t="inlineStr">
        <is>
          <t>[HW&amp;R] Base Regime Change Tracking</t>
        </is>
      </c>
      <c r="D43" s="12" t="inlineStr">
        <is>
          <t>Service (crew-hours-of-work-and-rest-service)</t>
        </is>
      </c>
      <c r="E43" s="12" t="inlineStr">
        <is>
          <t>Integration with another service</t>
        </is>
      </c>
      <c r="F43" s="12" t="inlineStr">
        <is>
          <t>integration with "vessel-time-service" new service (?)</t>
        </is>
      </c>
      <c r="G43" s="13" t="n">
        <v>1</v>
      </c>
      <c r="H43" s="13">
        <f>G43*(1+$B$83/100)</f>
        <v/>
      </c>
    </row>
    <row r="44">
      <c r="A44" s="12" t="inlineStr">
        <is>
          <t>HW&amp;R  Phase 2</t>
        </is>
      </c>
      <c r="B44" s="12" t="inlineStr">
        <is>
          <t>CR-6548</t>
        </is>
      </c>
      <c r="C44" s="12" t="inlineStr">
        <is>
          <t>[HW&amp;R] Base Regime Change Tracking</t>
        </is>
      </c>
      <c r="D44" s="12" t="inlineStr">
        <is>
          <t>Service (crew-hours-of-work-and-rest-service)</t>
        </is>
      </c>
      <c r="E44" s="12" t="inlineStr">
        <is>
          <t>Uncertainty (Medium)</t>
        </is>
      </c>
      <c r="F44" s="12" t="inlineStr">
        <is>
          <t>How to deal with OPA-90 regime change, as this is managed by onboard (see CR-6547)</t>
        </is>
      </c>
      <c r="G44" s="13" t="n">
        <v>2</v>
      </c>
      <c r="H44" s="13">
        <f>G44*(1+$B$83/100)</f>
        <v/>
      </c>
    </row>
    <row r="45">
      <c r="A45" s="12" t="inlineStr">
        <is>
          <t>HW&amp;R  Phase 2</t>
        </is>
      </c>
      <c r="B45" s="12" t="inlineStr">
        <is>
          <t>CR-6548</t>
        </is>
      </c>
      <c r="C45" s="12" t="inlineStr">
        <is>
          <t>[HW&amp;R] Base Regime Change Tracking</t>
        </is>
      </c>
      <c r="D45" s="12" t="inlineStr">
        <is>
          <t>MFE (crew-hwr)</t>
        </is>
      </c>
      <c r="E45" s="12" t="inlineStr">
        <is>
          <t>Add new menu item and new UI</t>
        </is>
      </c>
      <c r="F45" s="12" t="inlineStr">
        <is>
          <t>Add new menu item and new UI changes entries</t>
        </is>
      </c>
      <c r="G45" s="13" t="n">
        <v>1</v>
      </c>
      <c r="H45" s="13">
        <f>G45*(1+$B$83/100)</f>
        <v/>
      </c>
    </row>
    <row r="46">
      <c r="A46" s="12" t="inlineStr">
        <is>
          <t>HW&amp;R  Phase 2</t>
        </is>
      </c>
      <c r="B46" s="12" t="inlineStr">
        <is>
          <t>CR-6548</t>
        </is>
      </c>
      <c r="C46" s="12" t="inlineStr">
        <is>
          <t>[HW&amp;R] Base Regime Change Tracking</t>
        </is>
      </c>
      <c r="D46" s="12" t="inlineStr">
        <is>
          <t>MFE (crew-hwr)</t>
        </is>
      </c>
      <c r="E46" s="12" t="inlineStr">
        <is>
          <t>Enhance existing UI (Small)</t>
        </is>
      </c>
      <c r="F46" s="12" t="inlineStr">
        <is>
          <t>Add new detail page with CRUD</t>
        </is>
      </c>
      <c r="G46" s="13" t="n">
        <v>2</v>
      </c>
      <c r="H46" s="13">
        <f>G46*(1+$B$83/100)</f>
        <v/>
      </c>
    </row>
    <row r="47">
      <c r="A47" s="14" t="inlineStr">
        <is>
          <t>HW&amp;R  Phase 2</t>
        </is>
      </c>
      <c r="B47" s="14" t="inlineStr">
        <is>
          <t>CR-6547</t>
        </is>
      </c>
      <c r="C47" s="14" t="inlineStr">
        <is>
          <t>[HW&amp;R] OPA-90 Regime Management</t>
        </is>
      </c>
      <c r="D47" s="14" t="inlineStr">
        <is>
          <t>Service (crew-hours-of-work-and-rest-service)</t>
        </is>
      </c>
      <c r="E47" s="14" t="inlineStr">
        <is>
          <t>DB: new tables, migration</t>
        </is>
      </c>
      <c r="F47" s="14" t="inlineStr">
        <is>
          <t>DB: new tables, migration</t>
        </is>
      </c>
      <c r="G47" s="15" t="n">
        <v>1</v>
      </c>
      <c r="H47" s="15">
        <f>G47*(1+$B$83/100)</f>
        <v/>
      </c>
    </row>
    <row r="48">
      <c r="A48" s="14" t="inlineStr">
        <is>
          <t>HW&amp;R  Phase 2</t>
        </is>
      </c>
      <c r="B48" s="14" t="inlineStr">
        <is>
          <t>CR-6547</t>
        </is>
      </c>
      <c r="C48" s="14" t="inlineStr">
        <is>
          <t>[HW&amp;R] OPA-90 Regime Management</t>
        </is>
      </c>
      <c r="D48" s="14" t="inlineStr">
        <is>
          <t>Service (crew-hours-of-work-and-rest-service)</t>
        </is>
      </c>
      <c r="E48" s="14" t="inlineStr">
        <is>
          <t>onboard data-sync</t>
        </is>
      </c>
      <c r="F48" s="14" t="inlineStr">
        <is>
          <t>Define sync configuration for the new tables</t>
        </is>
      </c>
      <c r="G48" s="15" t="n">
        <v>1</v>
      </c>
      <c r="H48" s="15">
        <f>G48*(1+$B$83/100)</f>
        <v/>
      </c>
    </row>
    <row r="49">
      <c r="A49" s="14" t="inlineStr">
        <is>
          <t>HW&amp;R  Phase 2</t>
        </is>
      </c>
      <c r="B49" s="14" t="inlineStr">
        <is>
          <t>CR-6547</t>
        </is>
      </c>
      <c r="C49" s="14" t="inlineStr">
        <is>
          <t>[HW&amp;R] OPA-90 Regime Management</t>
        </is>
      </c>
      <c r="D49" s="14" t="inlineStr">
        <is>
          <t>Service (crew-hours-of-work-and-rest-service)</t>
        </is>
      </c>
      <c r="E49" s="14" t="inlineStr">
        <is>
          <t>Domain models and core logic for CRUD</t>
        </is>
      </c>
      <c r="F49" s="14" t="inlineStr">
        <is>
          <t>Domain models and core logic for CRUD</t>
        </is>
      </c>
      <c r="G49" s="15" t="n">
        <v>2</v>
      </c>
      <c r="H49" s="15">
        <f>G49*(1+$B$83/100)</f>
        <v/>
      </c>
    </row>
    <row r="50">
      <c r="A50" s="14" t="inlineStr">
        <is>
          <t>HW&amp;R  Phase 2</t>
        </is>
      </c>
      <c r="B50" s="14" t="inlineStr">
        <is>
          <t>CR-6547</t>
        </is>
      </c>
      <c r="C50" s="14" t="inlineStr">
        <is>
          <t>[HW&amp;R] OPA-90 Regime Management</t>
        </is>
      </c>
      <c r="D50" s="14" t="inlineStr">
        <is>
          <t>Service (crew-hours-of-work-and-rest-service)</t>
        </is>
      </c>
      <c r="E50" s="14" t="inlineStr">
        <is>
          <t>Authorisation, new resources, edit roles</t>
        </is>
      </c>
      <c r="F50" s="14" t="inlineStr">
        <is>
          <t>Authorisation, new resources, edit roles</t>
        </is>
      </c>
      <c r="G50" s="15" t="n">
        <v>2</v>
      </c>
      <c r="H50" s="15">
        <f>G50*(1+$B$83/100)</f>
        <v/>
      </c>
    </row>
    <row r="51">
      <c r="A51" s="14" t="inlineStr">
        <is>
          <t>HW&amp;R  Phase 2</t>
        </is>
      </c>
      <c r="B51" s="14" t="inlineStr">
        <is>
          <t>CR-6547</t>
        </is>
      </c>
      <c r="C51" s="14" t="inlineStr">
        <is>
          <t>[HW&amp;R] OPA-90 Regime Management</t>
        </is>
      </c>
      <c r="D51" s="14" t="inlineStr">
        <is>
          <t>Service (crew-hours-of-work-and-rest-service)</t>
        </is>
      </c>
      <c r="E51" s="14" t="inlineStr">
        <is>
          <t>graphQL API</t>
        </is>
      </c>
      <c r="F51" s="14" t="inlineStr">
        <is>
          <t>graphQL (query and mutations for MFE)</t>
        </is>
      </c>
      <c r="G51" s="15" t="n">
        <v>2</v>
      </c>
      <c r="H51" s="15">
        <f>G51*(1+$B$83/100)</f>
        <v/>
      </c>
    </row>
    <row r="52">
      <c r="A52" s="14" t="inlineStr">
        <is>
          <t>HW&amp;R  Phase 2</t>
        </is>
      </c>
      <c r="B52" s="14" t="inlineStr">
        <is>
          <t>CR-6547</t>
        </is>
      </c>
      <c r="C52" s="14" t="inlineStr">
        <is>
          <t>[HW&amp;R] OPA-90 Regime Management</t>
        </is>
      </c>
      <c r="D52" s="14" t="inlineStr">
        <is>
          <t>Service (crew-hours-of-work-and-rest-service)</t>
        </is>
      </c>
      <c r="E52" s="14" t="inlineStr">
        <is>
          <t>gRPC API</t>
        </is>
      </c>
      <c r="F52" s="14" t="inlineStr">
        <is>
          <t>grpc (to be used by mobile-client-api)</t>
        </is>
      </c>
      <c r="G52" s="15" t="n">
        <v>2</v>
      </c>
      <c r="H52" s="15">
        <f>G52*(1+$B$83/100)</f>
        <v/>
      </c>
    </row>
    <row r="53">
      <c r="A53" s="14" t="inlineStr">
        <is>
          <t>HW&amp;R  Phase 2</t>
        </is>
      </c>
      <c r="B53" s="14" t="inlineStr">
        <is>
          <t>CR-6547</t>
        </is>
      </c>
      <c r="C53" s="14" t="inlineStr">
        <is>
          <t>[HW&amp;R] OPA-90 Regime Management</t>
        </is>
      </c>
      <c r="D53" s="14" t="inlineStr">
        <is>
          <t>Service (crew-hours-of-work-and-rest-service)</t>
        </is>
      </c>
      <c r="E53" s="14" t="inlineStr">
        <is>
          <t>Integration with another service</t>
        </is>
      </c>
      <c r="F53" s="14" t="inlineStr">
        <is>
          <t>integration with "vessel-time-service" new service (?)</t>
        </is>
      </c>
      <c r="G53" s="15" t="n">
        <v>1</v>
      </c>
      <c r="H53" s="15">
        <f>G53*(1+$B$83/100)</f>
        <v/>
      </c>
    </row>
    <row r="54">
      <c r="A54" s="14" t="inlineStr">
        <is>
          <t>HW&amp;R  Phase 2</t>
        </is>
      </c>
      <c r="B54" s="14" t="inlineStr">
        <is>
          <t>CR-6547</t>
        </is>
      </c>
      <c r="C54" s="14" t="inlineStr">
        <is>
          <t>[HW&amp;R] OPA-90 Regime Management</t>
        </is>
      </c>
      <c r="D54" s="14" t="inlineStr">
        <is>
          <t>MFE (crew-hwr)</t>
        </is>
      </c>
      <c r="E54" s="14" t="inlineStr">
        <is>
          <t>Add new menu item and new UI</t>
        </is>
      </c>
      <c r="F54" s="14" t="inlineStr">
        <is>
          <t>Add new menu item and new UI regime changes entries</t>
        </is>
      </c>
      <c r="G54" s="15" t="n">
        <v>1</v>
      </c>
      <c r="H54" s="15">
        <f>G54*(1+$B$83/100)</f>
        <v/>
      </c>
    </row>
    <row r="55">
      <c r="A55" s="14" t="inlineStr">
        <is>
          <t>HW&amp;R  Phase 2</t>
        </is>
      </c>
      <c r="B55" s="14" t="inlineStr">
        <is>
          <t>CR-6547</t>
        </is>
      </c>
      <c r="C55" s="14" t="inlineStr">
        <is>
          <t>[HW&amp;R] OPA-90 Regime Management</t>
        </is>
      </c>
      <c r="D55" s="14" t="inlineStr">
        <is>
          <t>MFE (crew-hwr)</t>
        </is>
      </c>
      <c r="E55" s="14" t="inlineStr">
        <is>
          <t>Enhance existing UI (Small)</t>
        </is>
      </c>
      <c r="F55" s="14" t="inlineStr">
        <is>
          <t>Add new detail page with CRUD</t>
        </is>
      </c>
      <c r="G55" s="15" t="n">
        <v>2</v>
      </c>
      <c r="H55" s="15">
        <f>G55*(1+$B$83/100)</f>
        <v/>
      </c>
    </row>
    <row r="56">
      <c r="A56" s="14" t="inlineStr">
        <is>
          <t>HW&amp;R  Phase 2</t>
        </is>
      </c>
      <c r="B56" s="14" t="inlineStr">
        <is>
          <t>CR-6547</t>
        </is>
      </c>
      <c r="C56" s="14" t="inlineStr">
        <is>
          <t>[HW&amp;R] OPA-90 Regime Management</t>
        </is>
      </c>
      <c r="D56" s="14" t="inlineStr">
        <is>
          <t>Service (crew-mobile-client-api)</t>
        </is>
      </c>
      <c r="E56" s="14" t="inlineStr">
        <is>
          <t>graphQL API</t>
        </is>
      </c>
      <c r="F56" s="14" t="inlineStr">
        <is>
          <t>graphQL API</t>
        </is>
      </c>
      <c r="G56" s="15" t="n">
        <v>2</v>
      </c>
      <c r="H56" s="15">
        <f>G56*(1+$B$83/100)</f>
        <v/>
      </c>
    </row>
    <row r="57">
      <c r="A57" s="14" t="inlineStr">
        <is>
          <t>HW&amp;R  Phase 2</t>
        </is>
      </c>
      <c r="B57" s="14" t="inlineStr">
        <is>
          <t>CR-6547</t>
        </is>
      </c>
      <c r="C57" s="14" t="inlineStr">
        <is>
          <t>[HW&amp;R] OPA-90 Regime Management</t>
        </is>
      </c>
      <c r="D57" s="14" t="inlineStr">
        <is>
          <t>Mobile App</t>
        </is>
      </c>
      <c r="E57" s="14" t="inlineStr">
        <is>
          <t>Service core business logic change (Small)</t>
        </is>
      </c>
      <c r="F57" s="14" t="inlineStr">
        <is>
          <t>Mobile core business logic change OPA-90 regime changes</t>
        </is>
      </c>
      <c r="G57" s="15" t="n">
        <v>2</v>
      </c>
      <c r="H57" s="15">
        <f>G57*(1+$B$83/100)</f>
        <v/>
      </c>
    </row>
    <row r="58">
      <c r="A58" s="12" t="inlineStr">
        <is>
          <t>HW&amp;R  Phase 2</t>
        </is>
      </c>
      <c r="B58" s="12" t="inlineStr">
        <is>
          <t>CR-6534</t>
        </is>
      </c>
      <c r="C58" s="12" t="inlineStr">
        <is>
          <t>[HW&amp;R] Mobile Offline Compliance Checks</t>
        </is>
      </c>
      <c r="D58" s="12" t="inlineStr">
        <is>
          <t>Mobile App</t>
        </is>
      </c>
      <c r="E58" s="12" t="inlineStr">
        <is>
          <t>Service core business logic change (Large)</t>
        </is>
      </c>
      <c r="F58" s="12" t="inlineStr">
        <is>
          <t>Port of core logic for compliance engine calculations to the mobile app</t>
        </is>
      </c>
      <c r="G58" s="13" t="n">
        <v>4</v>
      </c>
      <c r="H58" s="13">
        <f>G58*(1+$B$83/100)</f>
        <v/>
      </c>
    </row>
    <row r="59">
      <c r="A59" s="12" t="inlineStr">
        <is>
          <t>HW&amp;R  Phase 2</t>
        </is>
      </c>
      <c r="B59" s="12" t="inlineStr">
        <is>
          <t>CR-6534</t>
        </is>
      </c>
      <c r="C59" s="12" t="inlineStr">
        <is>
          <t>[HW&amp;R] Mobile Offline Compliance Checks</t>
        </is>
      </c>
      <c r="D59" s="12" t="inlineStr">
        <is>
          <t>Mobile App</t>
        </is>
      </c>
      <c r="E59" s="12" t="inlineStr">
        <is>
          <t>Service core business logic change (Large)</t>
        </is>
      </c>
      <c r="F59" s="12" t="inlineStr">
        <is>
          <t>Submit compliance calculations alongside the periods (?)</t>
        </is>
      </c>
      <c r="G59" s="13" t="n">
        <v>4</v>
      </c>
      <c r="H59" s="13">
        <f>G59*(1+$B$83/100)</f>
        <v/>
      </c>
    </row>
    <row r="60">
      <c r="A60" s="12" t="inlineStr">
        <is>
          <t>HW&amp;R  Phase 2</t>
        </is>
      </c>
      <c r="B60" s="12" t="inlineStr">
        <is>
          <t>CR-6534</t>
        </is>
      </c>
      <c r="C60" s="12" t="inlineStr">
        <is>
          <t>[HW&amp;R] Mobile Offline Compliance Checks</t>
        </is>
      </c>
      <c r="D60" s="12" t="inlineStr">
        <is>
          <t>Service (crew-mobile-client-api)</t>
        </is>
      </c>
      <c r="E60" s="12" t="inlineStr">
        <is>
          <t>graphQL API</t>
        </is>
      </c>
      <c r="F60" s="12" t="inlineStr">
        <is>
          <t>graphQL for exposing regimes for the vessel the Seafarer is on</t>
        </is>
      </c>
      <c r="G60" s="13" t="n">
        <v>2</v>
      </c>
      <c r="H60" s="13">
        <f>G60*(1+$B$83/100)</f>
        <v/>
      </c>
    </row>
    <row r="61">
      <c r="A61" s="12" t="inlineStr">
        <is>
          <t>HW&amp;R  Phase 2</t>
        </is>
      </c>
      <c r="B61" s="12" t="inlineStr">
        <is>
          <t>CR-6534</t>
        </is>
      </c>
      <c r="C61" s="12" t="inlineStr">
        <is>
          <t>[HW&amp;R] Mobile Offline Compliance Checks</t>
        </is>
      </c>
      <c r="D61" s="12" t="inlineStr">
        <is>
          <t>Service (crew-mobile-client-api)</t>
        </is>
      </c>
      <c r="E61" s="12" t="inlineStr">
        <is>
          <t>graphQL API</t>
        </is>
      </c>
      <c r="F61" s="12" t="inlineStr">
        <is>
          <t>graphQL support for submission of calculations (?)</t>
        </is>
      </c>
      <c r="G61" s="13" t="n">
        <v>2</v>
      </c>
      <c r="H61" s="13">
        <f>G61*(1+$B$83/100)</f>
        <v/>
      </c>
    </row>
    <row r="62">
      <c r="A62" s="12" t="inlineStr">
        <is>
          <t>HW&amp;R  Phase 2</t>
        </is>
      </c>
      <c r="B62" s="12" t="inlineStr">
        <is>
          <t>CR-6534</t>
        </is>
      </c>
      <c r="C62" s="12" t="inlineStr">
        <is>
          <t>[HW&amp;R] Mobile Offline Compliance Checks</t>
        </is>
      </c>
      <c r="D62" s="12" t="inlineStr">
        <is>
          <t>Service (crew-mobile-client-api)</t>
        </is>
      </c>
      <c r="E62" s="12" t="inlineStr">
        <is>
          <t>Service core business logic change (Small)</t>
        </is>
      </c>
      <c r="F62" s="12" t="inlineStr">
        <is>
          <t>core logic for storing the submitted calculations</t>
        </is>
      </c>
      <c r="G62" s="13" t="n">
        <v>2</v>
      </c>
      <c r="H62" s="13">
        <f>G62*(1+$B$83/100)</f>
        <v/>
      </c>
    </row>
    <row r="63">
      <c r="A63" s="12" t="inlineStr">
        <is>
          <t>HW&amp;R  Phase 2</t>
        </is>
      </c>
      <c r="B63" s="12" t="inlineStr">
        <is>
          <t>CR-6534</t>
        </is>
      </c>
      <c r="C63" s="12" t="inlineStr">
        <is>
          <t>[HW&amp;R] Mobile Offline Compliance Checks</t>
        </is>
      </c>
      <c r="D63" s="12" t="inlineStr">
        <is>
          <t>Service (crew-mobile-client-api)</t>
        </is>
      </c>
      <c r="E63" s="12" t="inlineStr">
        <is>
          <t>Integration with another service</t>
        </is>
      </c>
      <c r="F63" s="12" t="inlineStr">
        <is>
          <t>integration with settings-service</t>
        </is>
      </c>
      <c r="G63" s="13" t="n">
        <v>1</v>
      </c>
      <c r="H63" s="13">
        <f>G63*(1+$B$83/100)</f>
        <v/>
      </c>
    </row>
    <row r="64">
      <c r="A64" s="12" t="inlineStr">
        <is>
          <t>HW&amp;R  Phase 2</t>
        </is>
      </c>
      <c r="B64" s="12" t="inlineStr">
        <is>
          <t>CR-6534</t>
        </is>
      </c>
      <c r="C64" s="12" t="inlineStr">
        <is>
          <t>[HW&amp;R] Mobile Offline Compliance Checks</t>
        </is>
      </c>
      <c r="D64" s="12" t="inlineStr">
        <is>
          <t>Service (crew-hours-of-work-and-rest-service)</t>
        </is>
      </c>
      <c r="E64" s="12" t="inlineStr">
        <is>
          <t>gRPC API</t>
        </is>
      </c>
      <c r="F64" s="12" t="inlineStr">
        <is>
          <t>gRPC for submitting calculation from mobile</t>
        </is>
      </c>
      <c r="G64" s="13" t="n">
        <v>2</v>
      </c>
      <c r="H64" s="13">
        <f>G64*(1+$B$83/100)</f>
        <v/>
      </c>
    </row>
    <row r="65">
      <c r="A65" s="14" t="inlineStr">
        <is>
          <t>HW&amp;R  Phase 2</t>
        </is>
      </c>
      <c r="B65" s="14" t="inlineStr">
        <is>
          <t>CR-6530</t>
        </is>
      </c>
      <c r="C65" s="14" t="inlineStr">
        <is>
          <t>[HW&amp;R] Approve and Reject events</t>
        </is>
      </c>
      <c r="D65" s="14" t="inlineStr">
        <is>
          <t>Service (crew-hours-of-work-and-rest-service)</t>
        </is>
      </c>
      <c r="E65" s="14" t="inlineStr">
        <is>
          <t>DB: new tables, migration</t>
        </is>
      </c>
      <c r="F65" s="14" t="inlineStr">
        <is>
          <t>DB: use timesheet_events with status_change event type</t>
        </is>
      </c>
      <c r="G65" s="15" t="n">
        <v>1</v>
      </c>
      <c r="H65" s="15">
        <f>G65*(1+$B$83/100)</f>
        <v/>
      </c>
    </row>
    <row r="66">
      <c r="A66" s="14" t="inlineStr">
        <is>
          <t>HW&amp;R  Phase 2</t>
        </is>
      </c>
      <c r="B66" s="14" t="inlineStr">
        <is>
          <t>CR-6530</t>
        </is>
      </c>
      <c r="C66" s="14" t="inlineStr">
        <is>
          <t>[HW&amp;R] Approve and Reject events</t>
        </is>
      </c>
      <c r="D66" s="14" t="inlineStr">
        <is>
          <t>Service (crew-hours-of-work-and-rest-service)</t>
        </is>
      </c>
      <c r="E66" s="14" t="inlineStr">
        <is>
          <t>Service core business logic change (Medium)</t>
        </is>
      </c>
      <c r="F66" s="14" t="inlineStr">
        <is>
          <t>core logic for create, read and enforce immutability</t>
        </is>
      </c>
      <c r="G66" s="15" t="n">
        <v>3</v>
      </c>
      <c r="H66" s="15">
        <f>G66*(1+$B$83/100)</f>
        <v/>
      </c>
    </row>
    <row r="67">
      <c r="A67" s="14" t="inlineStr">
        <is>
          <t>HW&amp;R  Phase 2</t>
        </is>
      </c>
      <c r="B67" s="14" t="inlineStr">
        <is>
          <t>CR-6530</t>
        </is>
      </c>
      <c r="C67" s="14" t="inlineStr">
        <is>
          <t>[HW&amp;R] Approve and Reject events</t>
        </is>
      </c>
      <c r="D67" s="14" t="inlineStr">
        <is>
          <t>MFE (crew-hwr)</t>
        </is>
      </c>
      <c r="E67" s="14" t="inlineStr">
        <is>
          <t>Enhance existing UI (Small)</t>
        </is>
      </c>
      <c r="F67" s="14" t="inlineStr">
        <is>
          <t>Enhance Events UI component to use different visual treatments for different type of events</t>
        </is>
      </c>
      <c r="G67" s="15" t="n">
        <v>2</v>
      </c>
      <c r="H67" s="15">
        <f>G67*(1+$B$83/100)</f>
        <v/>
      </c>
    </row>
    <row r="68">
      <c r="A68" s="12" t="inlineStr">
        <is>
          <t>HW&amp;R  Phase 2</t>
        </is>
      </c>
      <c r="B68" s="12" t="inlineStr">
        <is>
          <t>CR-6439</t>
        </is>
      </c>
      <c r="C68" s="12" t="inlineStr">
        <is>
          <t>[HW&amp;R] Mobile scheduled working hours</t>
        </is>
      </c>
      <c r="D68" s="12" t="inlineStr">
        <is>
          <t>Service (crew-hours-of-work-and-rest-service)</t>
        </is>
      </c>
      <c r="E68" s="12" t="inlineStr">
        <is>
          <t>DB: new tables, migration</t>
        </is>
      </c>
      <c r="F68" s="12" t="inlineStr">
        <is>
          <t>DB new tables, migration</t>
        </is>
      </c>
      <c r="G68" s="13" t="n">
        <v>1</v>
      </c>
      <c r="H68" s="13">
        <f>G68*(1+$B$83/100)</f>
        <v/>
      </c>
    </row>
    <row r="69">
      <c r="A69" s="12" t="inlineStr">
        <is>
          <t>HW&amp;R  Phase 2</t>
        </is>
      </c>
      <c r="B69" s="12" t="inlineStr">
        <is>
          <t>CR-6439</t>
        </is>
      </c>
      <c r="C69" s="12" t="inlineStr">
        <is>
          <t>[HW&amp;R] Mobile scheduled working hours</t>
        </is>
      </c>
      <c r="D69" s="12" t="inlineStr">
        <is>
          <t>Service (crew-hours-of-work-and-rest-service)</t>
        </is>
      </c>
      <c r="E69" s="12" t="inlineStr">
        <is>
          <t>onboard data-sync</t>
        </is>
      </c>
      <c r="F69" s="12" t="inlineStr">
        <is>
          <t>Define sync configuration for the new tables</t>
        </is>
      </c>
      <c r="G69" s="13" t="n">
        <v>1</v>
      </c>
      <c r="H69" s="13">
        <f>G69*(1+$B$83/100)</f>
        <v/>
      </c>
    </row>
    <row r="70">
      <c r="A70" s="12" t="inlineStr">
        <is>
          <t>HW&amp;R  Phase 2</t>
        </is>
      </c>
      <c r="B70" s="12" t="inlineStr">
        <is>
          <t>CR-6439</t>
        </is>
      </c>
      <c r="C70" s="12" t="inlineStr">
        <is>
          <t>[HW&amp;R] Mobile scheduled working hours</t>
        </is>
      </c>
      <c r="D70" s="12" t="inlineStr">
        <is>
          <t>Service (crew-hours-of-work-and-rest-service)</t>
        </is>
      </c>
      <c r="E70" s="12" t="inlineStr">
        <is>
          <t>Domain models and core logic for CRUD</t>
        </is>
      </c>
      <c r="F70" s="12" t="inlineStr">
        <is>
          <t>Domain models and core logic,</t>
        </is>
      </c>
      <c r="G70" s="13" t="n">
        <v>2</v>
      </c>
      <c r="H70" s="13">
        <f>G70*(1+$B$83/100)</f>
        <v/>
      </c>
    </row>
    <row r="71">
      <c r="A71" s="12" t="inlineStr">
        <is>
          <t>HW&amp;R  Phase 2</t>
        </is>
      </c>
      <c r="B71" s="12" t="inlineStr">
        <is>
          <t>CR-6439</t>
        </is>
      </c>
      <c r="C71" s="12" t="inlineStr">
        <is>
          <t>[HW&amp;R] Mobile scheduled working hours</t>
        </is>
      </c>
      <c r="D71" s="12" t="inlineStr">
        <is>
          <t>Service (crew-hours-of-work-and-rest-service)</t>
        </is>
      </c>
      <c r="E71" s="12" t="inlineStr">
        <is>
          <t>Authorisation, new resources, edit roles</t>
        </is>
      </c>
      <c r="F71" s="12" t="inlineStr">
        <is>
          <t>Authorisation, new resources, edit roles</t>
        </is>
      </c>
      <c r="G71" s="13" t="n">
        <v>2</v>
      </c>
      <c r="H71" s="13">
        <f>G71*(1+$B$83/100)</f>
        <v/>
      </c>
    </row>
    <row r="72">
      <c r="A72" s="12" t="inlineStr">
        <is>
          <t>HW&amp;R  Phase 2</t>
        </is>
      </c>
      <c r="B72" s="12" t="inlineStr">
        <is>
          <t>CR-6439</t>
        </is>
      </c>
      <c r="C72" s="12" t="inlineStr">
        <is>
          <t>[HW&amp;R] Mobile scheduled working hours</t>
        </is>
      </c>
      <c r="D72" s="12" t="inlineStr">
        <is>
          <t>Service (crew-hours-of-work-and-rest-service)</t>
        </is>
      </c>
      <c r="E72" s="12" t="inlineStr">
        <is>
          <t>Service core business logic change (Small)</t>
        </is>
      </c>
      <c r="F72" s="12" t="inlineStr">
        <is>
          <t>Predictive compliance: preview/dry-run API (synthetic periods + calculator w/o persistence)</t>
        </is>
      </c>
      <c r="G72" s="13" t="n">
        <v>2</v>
      </c>
      <c r="H72" s="13">
        <f>G72*(1+$B$83/100)</f>
        <v/>
      </c>
    </row>
    <row r="73">
      <c r="A73" s="12" t="inlineStr">
        <is>
          <t>HW&amp;R  Phase 2</t>
        </is>
      </c>
      <c r="B73" s="12" t="inlineStr">
        <is>
          <t>CR-6439</t>
        </is>
      </c>
      <c r="C73" s="12" t="inlineStr">
        <is>
          <t>[HW&amp;R] Mobile scheduled working hours</t>
        </is>
      </c>
      <c r="D73" s="12" t="inlineStr">
        <is>
          <t>Mobile App</t>
        </is>
      </c>
      <c r="E73" s="12" t="inlineStr">
        <is>
          <t>Service core business logic change (Medium)</t>
        </is>
      </c>
      <c r="F73" s="12" t="inlineStr">
        <is>
          <t>Define weekly schedule (7 days add/edit/delete work and drill blocks per day)</t>
        </is>
      </c>
      <c r="G73" s="13" t="n">
        <v>3</v>
      </c>
      <c r="H73" s="13">
        <f>G73*(1+$B$83/100)</f>
        <v/>
      </c>
    </row>
    <row r="74">
      <c r="A74" s="12" t="inlineStr">
        <is>
          <t>HW&amp;R  Phase 2</t>
        </is>
      </c>
      <c r="B74" s="12" t="inlineStr">
        <is>
          <t>CR-6439</t>
        </is>
      </c>
      <c r="C74" s="12" t="inlineStr">
        <is>
          <t>[HW&amp;R] Mobile scheduled working hours</t>
        </is>
      </c>
      <c r="D74" s="12" t="inlineStr">
        <is>
          <t>Mobile App</t>
        </is>
      </c>
      <c r="E74" s="12" t="inlineStr">
        <is>
          <t>Enhance existing UI (Small)</t>
        </is>
      </c>
      <c r="F74" s="12" t="inlineStr">
        <is>
          <t>Pre-fill from schedule (date or range picker apply refresh list)</t>
        </is>
      </c>
      <c r="G74" s="13" t="n">
        <v>2</v>
      </c>
      <c r="H74" s="13">
        <f>G74*(1+$B$83/100)</f>
        <v/>
      </c>
    </row>
    <row r="75">
      <c r="A75" s="12" t="inlineStr">
        <is>
          <t>HW&amp;R  Phase 2</t>
        </is>
      </c>
      <c r="B75" s="12" t="inlineStr">
        <is>
          <t>CR-6439</t>
        </is>
      </c>
      <c r="C75" s="12" t="inlineStr">
        <is>
          <t>[HW&amp;R] Mobile scheduled working hours</t>
        </is>
      </c>
      <c r="D75" s="12" t="inlineStr">
        <is>
          <t>Mobile App</t>
        </is>
      </c>
      <c r="E75" s="12" t="inlineStr">
        <is>
          <t>Enhance existing UI (Small)</t>
        </is>
      </c>
      <c r="F75" s="12" t="inlineStr">
        <is>
          <t>Predictive compliance indicators when editing or before applying</t>
        </is>
      </c>
      <c r="G75" s="13" t="n">
        <v>2</v>
      </c>
      <c r="H75" s="13">
        <f>G75*(1+$B$83/100)</f>
        <v/>
      </c>
    </row>
    <row r="76">
      <c r="A76" s="14" t="inlineStr">
        <is>
          <t>HW&amp;R  Phase 2</t>
        </is>
      </c>
      <c r="B76" s="14" t="inlineStr">
        <is>
          <t>CR-6390</t>
        </is>
      </c>
      <c r="C76" s="14" t="inlineStr">
        <is>
          <t>[HW&amp;R] Comments with user attribution and timestamp</t>
        </is>
      </c>
      <c r="D76" s="14" t="inlineStr">
        <is>
          <t>Service (crew-hours-of-work-and-rest-service)</t>
        </is>
      </c>
      <c r="E76" s="14" t="inlineStr">
        <is>
          <t>DB: new tables, migration</t>
        </is>
      </c>
      <c r="F76" s="14" t="inlineStr">
        <is>
          <t>DB: new timesheet_events table (event_type: comment | status_change), migration</t>
        </is>
      </c>
      <c r="G76" s="15" t="n">
        <v>1</v>
      </c>
      <c r="H76" s="15">
        <f>G76*(1+$B$83/100)</f>
        <v/>
      </c>
    </row>
    <row r="77">
      <c r="A77" s="14" t="inlineStr">
        <is>
          <t>HW&amp;R  Phase 2</t>
        </is>
      </c>
      <c r="B77" s="14" t="inlineStr">
        <is>
          <t>CR-6390</t>
        </is>
      </c>
      <c r="C77" s="14" t="inlineStr">
        <is>
          <t>[HW&amp;R] Comments with user attribution and timestamp</t>
        </is>
      </c>
      <c r="D77" s="14" t="inlineStr">
        <is>
          <t>Service (crew-hours-of-work-and-rest-service)</t>
        </is>
      </c>
      <c r="E77" s="14" t="inlineStr">
        <is>
          <t>Domain models and core logic for CRUD</t>
        </is>
      </c>
      <c r="F77" s="14" t="inlineStr">
        <is>
          <t>Domain models and core logic for create, read and enforce immutability</t>
        </is>
      </c>
      <c r="G77" s="15" t="n">
        <v>2</v>
      </c>
      <c r="H77" s="15">
        <f>G77*(1+$B$83/100)</f>
        <v/>
      </c>
    </row>
    <row r="78">
      <c r="A78" s="14" t="inlineStr">
        <is>
          <t>HW&amp;R  Phase 2</t>
        </is>
      </c>
      <c r="B78" s="14" t="inlineStr">
        <is>
          <t>CR-6390</t>
        </is>
      </c>
      <c r="C78" s="14" t="inlineStr">
        <is>
          <t>[HW&amp;R] Comments with user attribution and timestamp</t>
        </is>
      </c>
      <c r="D78" s="14" t="inlineStr">
        <is>
          <t>Service (crew-hours-of-work-and-rest-service)</t>
        </is>
      </c>
      <c r="E78" s="14" t="inlineStr">
        <is>
          <t>Authorisation, new resources, edit roles</t>
        </is>
      </c>
      <c r="F78" s="14" t="inlineStr">
        <is>
          <t>Authorisation, new resources, edit roles</t>
        </is>
      </c>
      <c r="G78" s="15" t="n">
        <v>2</v>
      </c>
      <c r="H78" s="15">
        <f>G78*(1+$B$83/100)</f>
        <v/>
      </c>
    </row>
    <row r="79">
      <c r="A79" s="14" t="inlineStr">
        <is>
          <t>HW&amp;R  Phase 2</t>
        </is>
      </c>
      <c r="B79" s="14" t="inlineStr">
        <is>
          <t>CR-6390</t>
        </is>
      </c>
      <c r="C79" s="14" t="inlineStr">
        <is>
          <t>[HW&amp;R] Comments with user attribution and timestamp</t>
        </is>
      </c>
      <c r="D79" s="14" t="inlineStr">
        <is>
          <t>Service (crew-hours-of-work-and-rest-service)</t>
        </is>
      </c>
      <c r="E79" s="14" t="inlineStr">
        <is>
          <t>graphQL API</t>
        </is>
      </c>
      <c r="F79" s="14" t="inlineStr">
        <is>
          <t>graphQL (for MFE: query and mutation to fetch and add comments)</t>
        </is>
      </c>
      <c r="G79" s="15" t="n">
        <v>2</v>
      </c>
      <c r="H79" s="15">
        <f>G79*(1+$B$83/100)</f>
        <v/>
      </c>
    </row>
    <row r="80">
      <c r="A80" s="14" t="inlineStr">
        <is>
          <t>HW&amp;R  Phase 2</t>
        </is>
      </c>
      <c r="B80" s="14" t="inlineStr">
        <is>
          <t>CR-6390</t>
        </is>
      </c>
      <c r="C80" s="14" t="inlineStr">
        <is>
          <t>[HW&amp;R] Comments with user attribution and timestamp</t>
        </is>
      </c>
      <c r="D80" s="14" t="inlineStr">
        <is>
          <t>Service (crew-hours-of-work-and-rest-service)</t>
        </is>
      </c>
      <c r="E80" s="14" t="inlineStr">
        <is>
          <t>Integration with another service</t>
        </is>
      </c>
      <c r="F80" s="14" t="inlineStr">
        <is>
          <t>Integration with crew-onboard</t>
        </is>
      </c>
      <c r="G80" s="15" t="n">
        <v>1</v>
      </c>
      <c r="H80" s="15">
        <f>G80*(1+$B$83/100)</f>
        <v/>
      </c>
    </row>
    <row r="81">
      <c r="A81" s="14" t="inlineStr">
        <is>
          <t>HW&amp;R  Phase 2</t>
        </is>
      </c>
      <c r="B81" s="14" t="inlineStr">
        <is>
          <t>CR-6390</t>
        </is>
      </c>
      <c r="C81" s="14" t="inlineStr">
        <is>
          <t>[HW&amp;R] Comments with user attribution and timestamp</t>
        </is>
      </c>
      <c r="D81" s="14" t="inlineStr">
        <is>
          <t>MFE (crew-hwr)</t>
        </is>
      </c>
      <c r="E81" s="14" t="inlineStr">
        <is>
          <t>Enhance existing UI (Small)</t>
        </is>
      </c>
      <c r="F81" s="14" t="inlineStr">
        <is>
          <t>Events UI component: add comment, list of comments (events) in cron order</t>
        </is>
      </c>
      <c r="G81" s="15" t="n">
        <v>2</v>
      </c>
      <c r="H81" s="15">
        <f>G81*(1+$B$83/100)</f>
        <v/>
      </c>
    </row>
    <row r="82">
      <c r="A82" s="16" t="n"/>
      <c r="B82" s="16" t="inlineStr">
        <is>
          <t>Estimated scope total</t>
        </is>
      </c>
      <c r="C82" s="16" t="n"/>
      <c r="D82" s="16" t="n"/>
      <c r="E82" s="16" t="n"/>
      <c r="F82" s="16" t="n"/>
      <c r="G82" s="16">
        <f>SUM(G3:G81)</f>
        <v/>
      </c>
    </row>
    <row r="83">
      <c r="A83" s="16" t="inlineStr">
        <is>
          <t>Contingency %</t>
        </is>
      </c>
      <c r="B83" s="16" t="n">
        <v>30</v>
      </c>
      <c r="C83" s="16" t="n"/>
      <c r="D83" s="16" t="n"/>
      <c r="E83" s="16" t="n"/>
      <c r="F83" s="16" t="n"/>
      <c r="G83" s="16" t="n"/>
    </row>
    <row r="84">
      <c r="A84" s="16" t="n"/>
      <c r="B84" s="16" t="inlineStr">
        <is>
          <t>Contingency</t>
        </is>
      </c>
      <c r="C84" s="16" t="n"/>
      <c r="D84" s="16" t="n"/>
      <c r="E84" s="16" t="n"/>
      <c r="F84" s="16" t="n"/>
      <c r="G84" s="16">
        <f>G82*$B$83/100</f>
        <v/>
      </c>
    </row>
    <row r="85">
      <c r="A85" s="16" t="n"/>
      <c r="B85" s="16" t="inlineStr">
        <is>
          <t>TOTAL DAYS</t>
        </is>
      </c>
      <c r="C85" s="16" t="n"/>
      <c r="D85" s="16" t="n"/>
      <c r="E85" s="16" t="n"/>
      <c r="F85" s="16" t="n"/>
      <c r="G85" s="16">
        <f>G82+G84</f>
        <v/>
      </c>
    </row>
    <row r="86"/>
    <row r="87">
      <c r="A87" s="17" t="inlineStr">
        <is>
          <t>Time size</t>
        </is>
      </c>
      <c r="B87" s="7" t="n">
        <v>7</v>
      </c>
    </row>
    <row r="88">
      <c r="A88" s="7" t="inlineStr">
        <is>
          <t>Working days per quarter</t>
        </is>
      </c>
      <c r="B88" s="7" t="n">
        <v>65</v>
      </c>
    </row>
    <row r="89">
      <c r="A89" s="7" t="inlineStr">
        <is>
          <t>Focus factor</t>
        </is>
      </c>
      <c r="B89" s="7" t="n">
        <v>0.6</v>
      </c>
    </row>
    <row r="90">
      <c r="A90" s="7" t="inlineStr">
        <is>
          <t>Net capacity</t>
        </is>
      </c>
      <c r="B90">
        <f>B87*B88*B89</f>
        <v/>
      </c>
    </row>
    <row r="91">
      <c r="A91" s="7" t="inlineStr">
        <is>
          <t>Total estimated effort</t>
        </is>
      </c>
      <c r="B91">
        <f>G85</f>
        <v/>
      </c>
    </row>
    <row r="92">
      <c r="A92" s="7" t="inlineStr">
        <is>
          <t>Utilisation</t>
        </is>
      </c>
      <c r="B92" s="18">
        <f>B91/B90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2026-02-24T17:42:19Z</dcterms:created>
  <dcterms:modified xsi:type="dcterms:W3CDTF">2026-02-25T17:12:06Z</dcterms:modified>
  <cp:revision>2</cp:revision>
</cp:coreProperties>
</file>